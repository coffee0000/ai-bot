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TeamsAIBotアプリ\連結テスト\連結テスト\"/>
    </mc:Choice>
  </mc:AlternateContent>
  <xr:revisionPtr revIDLastSave="0" documentId="13_ncr:1_{838AA830-6EE2-475B-95B4-B5AED0AB90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テストケース" sheetId="5" r:id="rId1"/>
    <sheet name="性能テストケース" sheetId="7" r:id="rId2"/>
  </sheets>
  <definedNames>
    <definedName name="_xlnm._FilterDatabase" localSheetId="0" hidden="1">テストケース!$A$1:$F$10</definedName>
  </definedNames>
  <calcPr calcId="181029"/>
</workbook>
</file>

<file path=xl/calcChain.xml><?xml version="1.0" encoding="utf-8"?>
<calcChain xmlns="http://schemas.openxmlformats.org/spreadsheetml/2006/main">
  <c r="L2" i="7" l="1"/>
  <c r="G2" i="7"/>
  <c r="J14" i="7"/>
  <c r="G14" i="7"/>
  <c r="J13" i="7"/>
  <c r="G13" i="7"/>
  <c r="J12" i="7"/>
  <c r="G12" i="7"/>
  <c r="J9" i="7"/>
  <c r="G9" i="7"/>
  <c r="J8" i="7"/>
  <c r="G8" i="7"/>
  <c r="J7" i="7"/>
  <c r="G7" i="7"/>
  <c r="J4" i="7"/>
  <c r="G4" i="7"/>
  <c r="J3" i="7"/>
  <c r="G3" i="7"/>
  <c r="J2" i="7"/>
  <c r="K3" i="7" l="1"/>
  <c r="L3" i="7" s="1"/>
  <c r="K7" i="7"/>
  <c r="L7" i="7" s="1"/>
  <c r="K12" i="7"/>
  <c r="L12" i="7" s="1"/>
  <c r="K13" i="7"/>
  <c r="L13" i="7" s="1"/>
  <c r="K4" i="7"/>
  <c r="L4" i="7" s="1"/>
  <c r="K8" i="7"/>
  <c r="L8" i="7" s="1"/>
  <c r="K9" i="7"/>
  <c r="L9" i="7" s="1"/>
  <c r="K2" i="7"/>
  <c r="K14" i="7"/>
  <c r="L14" i="7" s="1"/>
</calcChain>
</file>

<file path=xl/sharedStrings.xml><?xml version="1.0" encoding="utf-8"?>
<sst xmlns="http://schemas.openxmlformats.org/spreadsheetml/2006/main" count="87" uniqueCount="84">
  <si>
    <t>No.</t>
    <phoneticPr fontId="2" type="noConversion"/>
  </si>
  <si>
    <t>分類</t>
    <phoneticPr fontId="2" type="noConversion"/>
  </si>
  <si>
    <t>前提条件／環境</t>
    <phoneticPr fontId="2" type="noConversion"/>
  </si>
  <si>
    <t>手順</t>
    <phoneticPr fontId="2" type="noConversion"/>
  </si>
  <si>
    <t>結果</t>
    <rPh sb="0" eb="2">
      <t>ｹｯｶ</t>
    </rPh>
    <phoneticPr fontId="2" type="noConversion"/>
  </si>
  <si>
    <t>実施日</t>
    <rPh sb="0" eb="3">
      <t>ｼﾞｯｼﾋﾞ</t>
    </rPh>
    <phoneticPr fontId="2" type="noConversion"/>
  </si>
  <si>
    <t>実施者</t>
    <rPh sb="0" eb="2">
      <t>ｼﾞｯｼ</t>
    </rPh>
    <rPh sb="2" eb="3">
      <t>ｼｬ</t>
    </rPh>
    <phoneticPr fontId="2" type="noConversion"/>
  </si>
  <si>
    <t>1</t>
    <phoneticPr fontId="4"/>
  </si>
  <si>
    <t>2</t>
    <phoneticPr fontId="4"/>
  </si>
  <si>
    <t>3</t>
    <phoneticPr fontId="4"/>
  </si>
  <si>
    <t>・デプロイ済み：Azure Bot Service + App Service
・環境変数は『環境変数設計書』に基づいて設定済み
・Teams 側には個人アプリをアップロード済み
・Cosmos DB にアクセス可能</t>
    <phoneticPr fontId="4"/>
  </si>
  <si>
    <t>Bot利用可否確認</t>
    <phoneticPr fontId="4"/>
  </si>
  <si>
    <t>本番環境でサービス利用が可能であることを確認する</t>
    <phoneticPr fontId="4"/>
  </si>
  <si>
    <t>Microsoft Teams にて Bot を追加する</t>
    <phoneticPr fontId="4"/>
  </si>
  <si>
    <t>期待結果</t>
    <phoneticPr fontId="2" type="noConversion"/>
  </si>
  <si>
    <t>Bot が正常に追加され、チャット画面が表示される</t>
    <phoneticPr fontId="4"/>
  </si>
  <si>
    <t>備考</t>
  </si>
  <si>
    <t>備考</t>
    <phoneticPr fontId="4"/>
  </si>
  <si>
    <t>初期表示確認</t>
    <phoneticPr fontId="4"/>
  </si>
  <si>
    <t>基本対話確認</t>
    <phoneticPr fontId="4"/>
  </si>
  <si>
    <t>連続対話確認</t>
    <phoneticPr fontId="4"/>
  </si>
  <si>
    <t>表示確認</t>
    <phoneticPr fontId="4"/>
  </si>
  <si>
    <t>初期表示が正常であることを確認する</t>
    <phoneticPr fontId="4"/>
  </si>
  <si>
    <t>会話が継続可能であることを確認する</t>
    <phoneticPr fontId="4"/>
  </si>
  <si>
    <t>日本語・英数字・絵文字を含むメッセージ送信</t>
    <phoneticPr fontId="4"/>
  </si>
  <si>
    <t>基本機能が本番環境で再現されることを確認する</t>
    <phoneticPr fontId="4"/>
  </si>
  <si>
    <t>チャット画面を初回表示する</t>
    <phoneticPr fontId="4"/>
  </si>
  <si>
    <t>通常の質問を送信する</t>
    <phoneticPr fontId="4"/>
  </si>
  <si>
    <t>関連質問を連続送信する</t>
    <phoneticPr fontId="4"/>
  </si>
  <si>
    <t>表示崩れなく正常表示される</t>
    <phoneticPr fontId="4"/>
  </si>
  <si>
    <t>歓迎メッセージが表示される</t>
    <phoneticPr fontId="4"/>
  </si>
  <si>
    <t>文脈を踏まえた応答が返却される</t>
    <phoneticPr fontId="4"/>
  </si>
  <si>
    <t>適切な応答が返却される</t>
    <phoneticPr fontId="4"/>
  </si>
  <si>
    <t>表示品質を確認する</t>
    <phoneticPr fontId="4"/>
  </si>
  <si>
    <t>4</t>
    <phoneticPr fontId="4"/>
  </si>
  <si>
    <t>AI連携確認</t>
    <phoneticPr fontId="4"/>
  </si>
  <si>
    <t>Azure OpenAI と正常に接続されていることを確認する</t>
    <phoneticPr fontId="4"/>
  </si>
  <si>
    <t>通常の質問を送信し、内容に応じた生成応答を確認する</t>
    <phoneticPr fontId="4"/>
  </si>
  <si>
    <t>AI による自然な応答が返却されること（固定文ではないこと）</t>
    <phoneticPr fontId="4"/>
  </si>
  <si>
    <t>No</t>
  </si>
  <si>
    <t>シナリオ種別</t>
  </si>
  <si>
    <t>質問内容</t>
  </si>
  <si>
    <t>測定時間帯</t>
  </si>
  <si>
    <t>Bot開始時刻</t>
  </si>
  <si>
    <t>Bot応答時刻</t>
  </si>
  <si>
    <t>Bot所要時間(秒)</t>
  </si>
  <si>
    <t>差分(秒) Bot-既存AI</t>
  </si>
  <si>
    <t>判定(速い方)</t>
  </si>
  <si>
    <t>以下の作業項目をカテゴリ別（開発／インフラ／ドキュメント）で整理してください。
・Dockerfileの最適化
・Azure App Serviceスケール設定変更
・API仕様書の更新
・単体テストコード追加
・VNet接続設定確認
・ユーザーマニュアル修正</t>
    <phoneticPr fontId="2" type="noConversion"/>
  </si>
  <si>
    <t>目的</t>
    <phoneticPr fontId="2" type="noConversion"/>
  </si>
  <si>
    <t>本番環境において、アプリケーションが正常に DB に接続できていること、および接続先が本番用データベースであることを確認する。</t>
    <phoneticPr fontId="4"/>
  </si>
  <si>
    <t>DB接続確認（本番接続先確認）</t>
    <phoneticPr fontId="4"/>
  </si>
  <si>
    <t>Bot とのチャットを実施後、DB 確認権限を有する担当者に対し、接続状況および接続先データベース情報の確認を依頼する。</t>
    <phoneticPr fontId="4"/>
  </si>
  <si>
    <t>・アプリケーションが正常に DB 接続できていること
・接続先が本番用データベースであることが確認できること</t>
    <phoneticPr fontId="4"/>
  </si>
  <si>
    <t>情報の整理・分類</t>
    <phoneticPr fontId="2" type="noConversion"/>
  </si>
  <si>
    <t>要約・ポイント整理</t>
    <phoneticPr fontId="2" type="noConversion"/>
  </si>
  <si>
    <t>文書・メッセージ草案作成</t>
    <phoneticPr fontId="2" type="noConversion"/>
  </si>
  <si>
    <t>社内メンバー向けに、Git運用ルール変更の周知メールを作成してください。
内容は「mainブランチへの直接push禁止」「Merge Request必須」「レビュー2名以上」です。
ややフォーマルな社内向け文面でお願いします。</t>
    <phoneticPr fontId="2" type="noConversion"/>
  </si>
  <si>
    <t>以下の文章を要約してください。
本プロジェクトでは、ソースコード管理にGitLabを使用します。
mainブランチへの直接pushは禁止とし、必ずMerge Requestを作成してください。
レビューは最低2名の承認が必要です。
重大なバグ修正の場合でも、事後レビューは必須とします。
リリースは原則として毎週金曜日18:00に実施します。</t>
    <phoneticPr fontId="2" type="noConversion"/>
  </si>
  <si>
    <t>以下の内容をポイント整理してください。
本番環境において、3月25日（火）22:00～翌2:00の間、データベースのバージョンアップ作業を実施します。
作業中は最大30分程度のサービス停止が2回発生する可能性があります。
対象システムは受注管理システムおよび在庫管理APIです。
作業当日は緊急リリース対応は原則禁止とします。
万が一障害が発生した場合は、ロールバックを実施し、翌営業日に再実施を検討します。</t>
    <phoneticPr fontId="2" type="noConversion"/>
  </si>
  <si>
    <t>お客様向けに、プロジェクト進捗報告のメール草案を作成してください。
目的は現状報告です。
現在の進捗は80％完了、リリース予定日は5月末です。
リスクとして、外部API連携部分で軽微な遅延の可能性があります。
丁寧な文面でお願いします。</t>
    <phoneticPr fontId="2" type="noConversion"/>
  </si>
  <si>
    <t>以下の課題を優先度別（高・中・低）に整理してください。
・本番環境で断続的に500エラーが発生
・ログ出力フォーマットの軽微修正
・来月実施予定の機能追加検討
・セキュリティ診断で指摘されたXSS対応
・社内向け説明資料の更新</t>
    <phoneticPr fontId="2" type="noConversion"/>
  </si>
  <si>
    <t>問題点整理・対策案の提示</t>
    <phoneticPr fontId="2" type="noConversion"/>
  </si>
  <si>
    <t>手順・やり方案内</t>
  </si>
  <si>
    <t>用語・ルール確認</t>
    <phoneticPr fontId="2" type="noConversion"/>
  </si>
  <si>
    <t>CIパイプラインで最近ビルド失敗が頻発しています。
エラーログを見ると依存パッケージの取得に失敗しているようです。
開発メンバーのローカル環境では再現しません。
ネットワーク制限が最近強化されたという話もあります。
論点整理と対応策の案を提示してください。</t>
    <phoneticPr fontId="2" type="noConversion"/>
  </si>
  <si>
    <t>Azure App ServiceにPythonアプリをデプロイするやり方を教えてください。</t>
    <phoneticPr fontId="2" type="noConversion"/>
  </si>
  <si>
    <t>OAuth 2.0におけるAuthorization Codeフローの概要と、セキュリティ上の注意点を簡潔に説明してください。</t>
  </si>
  <si>
    <t>既存AI CHAT開始時刻</t>
    <phoneticPr fontId="2" type="noConversion"/>
  </si>
  <si>
    <t>既存AI CHAT応答時刻</t>
    <phoneticPr fontId="2" type="noConversion"/>
  </si>
  <si>
    <t>既存AI CHAT所要時間(秒)</t>
    <phoneticPr fontId="2" type="noConversion"/>
  </si>
  <si>
    <t>直接APIアクセス遮断確認</t>
    <phoneticPr fontId="4"/>
  </si>
  <si>
    <t>本番環境において、Microsoft Teams 経由以外の直接アクセスが遮断されていることを確認する。</t>
    <phoneticPr fontId="4"/>
  </si>
  <si>
    <t xml:space="preserve">本番環境において、Microsoft Teams 経由以外の直接アクセスが遮断されていることを確認する。
</t>
    <phoneticPr fontId="4"/>
  </si>
  <si>
    <t>・接続が拒否されること
・正常な応答処理が実行されないこと</t>
    <phoneticPr fontId="4"/>
  </si>
  <si>
    <t>他社テナントからのアクセス拒否確認</t>
    <phoneticPr fontId="4"/>
  </si>
  <si>
    <t>本番環境において、想定外テナントからのアクセスが拒否されることを確認する。</t>
    <phoneticPr fontId="4"/>
  </si>
  <si>
    <t>本番環境とは異なる Microsoft 365 テナントから Bot へのアクセスを試行する。</t>
    <phoneticPr fontId="4"/>
  </si>
  <si>
    <t>・Bot との通信が成立しないこと
・正常な応答が返却されないこと</t>
    <phoneticPr fontId="4"/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</si>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</sst>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Meiryo UI"/>
      <family val="2"/>
    </font>
    <font>
      <sz val="6"/>
      <name val="Calibri"/>
      <family val="3"/>
      <charset val="128"/>
      <scheme val="minor"/>
    </font>
    <font>
      <sz val="12"/>
      <color theme="1"/>
      <name val="Meiryo UI"/>
      <family val="2"/>
    </font>
    <font>
      <b/>
      <sz val="11"/>
      <name val="Meiryo UI"/>
      <family val="2"/>
      <charset val="128"/>
    </font>
    <font>
      <b/>
      <sz val="12"/>
      <color rgb="FFFFFFFF"/>
      <name val="Meiryo UI"/>
      <family val="2"/>
    </font>
    <font>
      <sz val="12"/>
      <name val="Meiryo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49" fontId="5" fillId="3" borderId="1" xfId="1" applyNumberFormat="1" applyFont="1" applyFill="1" applyBorder="1" applyAlignment="1">
      <alignment horizontal="left" vertical="top" wrapText="1"/>
    </xf>
    <xf numFmtId="49" fontId="5" fillId="3" borderId="3" xfId="1" applyNumberFormat="1" applyFont="1" applyFill="1" applyBorder="1" applyAlignment="1">
      <alignment horizontal="left" vertical="top" wrapText="1"/>
    </xf>
    <xf numFmtId="49" fontId="8" fillId="3" borderId="1" xfId="1" applyNumberFormat="1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49" fontId="5" fillId="3" borderId="5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49" fontId="5" fillId="3" borderId="6" xfId="0" applyNumberFormat="1" applyFont="1" applyFill="1" applyBorder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5" fillId="0" borderId="0" xfId="0" applyFont="1" applyAlignment="1">
      <alignment horizontal="left" vertical="top"/>
    </xf>
    <xf numFmtId="49" fontId="5" fillId="3" borderId="7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 wrapText="1"/>
    </xf>
    <xf numFmtId="49" fontId="5" fillId="3" borderId="3" xfId="0" applyNumberFormat="1" applyFont="1" applyFill="1" applyBorder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17">
    <dxf>
      <font>
        <strike val="0"/>
        <outline val="0"/>
        <shadow val="0"/>
        <u val="none"/>
        <vertAlign val="baseline"/>
        <sz val="12"/>
        <color auto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right style="thin">
          <color rgb="FFD9D9D9"/>
        </right>
      </border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D9D9D9"/>
        </lef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eiryo U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Meiryo UI"/>
        <family val="2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name val="Meiryo UI"/>
        <family val="2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name val="Meiryo UI"/>
        <family val="2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name val="Meiryo UI"/>
        <family val="2"/>
        <charset val="128"/>
        <scheme val="none"/>
      </font>
    </dxf>
    <dxf>
      <font>
        <strike val="0"/>
        <outline val="0"/>
        <shadow val="0"/>
        <u val="none"/>
        <vertAlign val="baseline"/>
        <sz val="12"/>
        <name val="Meiryo UI"/>
        <family val="2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Meiryo UI"/>
        <family val="2"/>
        <scheme val="none"/>
      </font>
      <numFmt numFmtId="30" formatCode="@"/>
      <fill>
        <patternFill patternType="solid">
          <fgColor rgb="FF000000"/>
          <bgColor rgb="FFFFFFFF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Meiryo UI"/>
        <family val="2"/>
        <scheme val="none"/>
      </font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F155C-D5BA-48ED-9CF2-4D11D4FB8C77}" name="TestCaseTable3" displayName="TestCaseTable3" ref="A1:J10" headerRowDxfId="16" dataDxfId="15" totalsRowDxfId="14">
  <autoFilter ref="A1:J10" xr:uid="{00000000-0009-0000-0100-000001000000}"/>
  <tableColumns count="10">
    <tableColumn id="1" xr3:uid="{CA883C45-C700-4588-8A76-8BCF53B8AEA7}" name="No." dataDxfId="9"/>
    <tableColumn id="2" xr3:uid="{9B86887B-F93F-47F9-8660-49D34CBA7EFD}" name="分類" dataDxfId="8"/>
    <tableColumn id="3" xr3:uid="{B315FD1D-8772-4CEA-9465-CAA129E3F10D}" name="目的" dataDxfId="7"/>
    <tableColumn id="4" xr3:uid="{CB072E20-8595-4BC4-8CA5-5BF17973E6E2}" name="前提条件／環境" dataDxfId="6"/>
    <tableColumn id="5" xr3:uid="{6A9EC745-99AF-472C-A9AD-FFDB3970BD50}" name="手順" dataDxfId="5"/>
    <tableColumn id="7" xr3:uid="{7FBAF7A2-2CED-4EA3-95BF-67A087C30A64}" name="期待結果" dataDxfId="4"/>
    <tableColumn id="11" xr3:uid="{BCB140FD-6EEB-4780-9E10-272CB1266B0B}" name="結果" dataDxfId="3" totalsRowDxfId="13"/>
    <tableColumn id="14" xr3:uid="{BE439E77-31C3-4F36-B544-A8DE8C35655A}" name="実施日" dataDxfId="2" totalsRowDxfId="12"/>
    <tableColumn id="15" xr3:uid="{800CC612-B114-4577-9374-238CEC589FDC}" name="実施者" dataDxfId="1" totalsRowDxfId="11"/>
    <tableColumn id="16" xr3:uid="{47520A10-2115-4D4A-AE48-5DBE04CC9650}" name="備考" dataDxfId="0" totalsRow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9625-B859-4173-B72F-1C9E9629BE4A}">
  <dimension ref="A1:J10"/>
  <sheetViews>
    <sheetView tabSelected="1" zoomScale="70" zoomScaleNormal="70" workbookViewId="0">
      <selection sqref="A1:J1"/>
    </sheetView>
  </sheetViews>
  <sheetFormatPr defaultColWidth="8.7265625" defaultRowHeight="16" x14ac:dyDescent="0.35"/>
  <cols>
    <col min="1" max="1" width="8.1796875" style="13" customWidth="1"/>
    <col min="2" max="2" width="33.7265625" style="13" customWidth="1"/>
    <col min="3" max="3" width="46.81640625" style="13" bestFit="1" customWidth="1"/>
    <col min="4" max="4" width="50.26953125" style="13" bestFit="1" customWidth="1"/>
    <col min="5" max="5" width="78.08984375" style="13" bestFit="1" customWidth="1"/>
    <col min="6" max="6" width="52" style="13" bestFit="1" customWidth="1"/>
    <col min="7" max="7" width="11.36328125" style="13" bestFit="1" customWidth="1"/>
    <col min="8" max="9" width="13.453125" style="13" bestFit="1" customWidth="1"/>
    <col min="10" max="10" width="12.81640625" style="13" bestFit="1" customWidth="1"/>
    <col min="11" max="16384" width="8.7265625" style="13"/>
  </cols>
  <sheetData>
    <row r="1" spans="1:10" ht="24.75" customHeight="1" x14ac:dyDescent="0.35">
      <c r="A1" s="12" t="s">
        <v>0</v>
      </c>
      <c r="B1" s="12" t="s">
        <v>1</v>
      </c>
      <c r="C1" s="12" t="s">
        <v>49</v>
      </c>
      <c r="D1" s="12" t="s">
        <v>2</v>
      </c>
      <c r="E1" s="12" t="s">
        <v>3</v>
      </c>
      <c r="F1" s="12" t="s">
        <v>14</v>
      </c>
      <c r="G1" s="12" t="s">
        <v>4</v>
      </c>
      <c r="H1" s="12" t="s">
        <v>5</v>
      </c>
      <c r="I1" s="12" t="s">
        <v>6</v>
      </c>
      <c r="J1" s="12" t="s">
        <v>17</v>
      </c>
    </row>
    <row r="2" spans="1:10" ht="64" x14ac:dyDescent="0.35">
      <c r="A2" s="4" t="s">
        <v>7</v>
      </c>
      <c r="B2" s="4" t="s">
        <v>11</v>
      </c>
      <c r="C2" s="4" t="s">
        <v>12</v>
      </c>
      <c r="D2" s="5" t="s">
        <v>10</v>
      </c>
      <c r="E2" s="4" t="s">
        <v>13</v>
      </c>
      <c r="F2" s="4" t="s">
        <v>15</v>
      </c>
      <c r="G2" s="4"/>
      <c r="H2" s="4"/>
      <c r="I2" s="4"/>
      <c r="J2" s="6"/>
    </row>
    <row r="3" spans="1:10" x14ac:dyDescent="0.35">
      <c r="A3" s="4" t="s">
        <v>8</v>
      </c>
      <c r="B3" s="4" t="s">
        <v>18</v>
      </c>
      <c r="C3" s="4" t="s">
        <v>22</v>
      </c>
      <c r="D3" s="5"/>
      <c r="E3" s="4" t="s">
        <v>26</v>
      </c>
      <c r="F3" s="4" t="s">
        <v>30</v>
      </c>
      <c r="G3" s="4"/>
      <c r="H3" s="4"/>
      <c r="I3" s="4"/>
      <c r="J3" s="6"/>
    </row>
    <row r="4" spans="1:10" x14ac:dyDescent="0.35">
      <c r="A4" s="4" t="s">
        <v>9</v>
      </c>
      <c r="B4" s="4" t="s">
        <v>19</v>
      </c>
      <c r="C4" s="4" t="s">
        <v>25</v>
      </c>
      <c r="D4" s="5"/>
      <c r="E4" s="4" t="s">
        <v>27</v>
      </c>
      <c r="F4" s="4" t="s">
        <v>32</v>
      </c>
      <c r="G4" s="4"/>
      <c r="H4" s="4"/>
      <c r="I4" s="4"/>
      <c r="J4" s="6"/>
    </row>
    <row r="5" spans="1:10" x14ac:dyDescent="0.35">
      <c r="A5" s="4" t="s">
        <v>34</v>
      </c>
      <c r="B5" s="4" t="s">
        <v>20</v>
      </c>
      <c r="C5" s="4" t="s">
        <v>23</v>
      </c>
      <c r="D5" s="5"/>
      <c r="E5" s="4" t="s">
        <v>28</v>
      </c>
      <c r="F5" s="4" t="s">
        <v>31</v>
      </c>
      <c r="G5" s="4"/>
      <c r="H5" s="4"/>
      <c r="I5" s="4"/>
      <c r="J5" s="6"/>
    </row>
    <row r="6" spans="1:10" x14ac:dyDescent="0.35">
      <c r="A6" s="4" t="s">
        <v>79</v>
      </c>
      <c r="B6" s="4" t="s">
        <v>21</v>
      </c>
      <c r="C6" s="4" t="s">
        <v>33</v>
      </c>
      <c r="D6" s="5"/>
      <c r="E6" s="4" t="s">
        <v>24</v>
      </c>
      <c r="F6" s="4" t="s">
        <v>29</v>
      </c>
      <c r="G6" s="4"/>
      <c r="H6" s="4"/>
      <c r="I6" s="4"/>
      <c r="J6" s="6"/>
    </row>
    <row r="7" spans="1:10" ht="32" x14ac:dyDescent="0.35">
      <c r="A7" s="4" t="s">
        <v>80</v>
      </c>
      <c r="B7" s="4" t="s">
        <v>35</v>
      </c>
      <c r="C7" s="4" t="s">
        <v>36</v>
      </c>
      <c r="D7" s="5"/>
      <c r="E7" s="4" t="s">
        <v>37</v>
      </c>
      <c r="F7" s="4" t="s">
        <v>38</v>
      </c>
      <c r="G7" s="4"/>
      <c r="H7" s="4"/>
      <c r="I7" s="4"/>
      <c r="J7" s="6"/>
    </row>
    <row r="8" spans="1:10" ht="48" x14ac:dyDescent="0.35">
      <c r="A8" s="4" t="s">
        <v>81</v>
      </c>
      <c r="B8" s="4" t="s">
        <v>51</v>
      </c>
      <c r="C8" s="4" t="s">
        <v>50</v>
      </c>
      <c r="D8" s="5"/>
      <c r="E8" s="4" t="s">
        <v>52</v>
      </c>
      <c r="F8" s="4" t="s">
        <v>53</v>
      </c>
      <c r="G8" s="4"/>
      <c r="H8" s="4"/>
      <c r="I8" s="4"/>
      <c r="J8" s="6"/>
    </row>
    <row r="9" spans="1:10" ht="43.5" customHeight="1" x14ac:dyDescent="0.35">
      <c r="A9" s="4" t="s">
        <v>82</v>
      </c>
      <c r="B9" s="10" t="s">
        <v>71</v>
      </c>
      <c r="C9" s="11" t="s">
        <v>72</v>
      </c>
      <c r="D9" s="17"/>
      <c r="E9" s="10" t="s">
        <v>73</v>
      </c>
      <c r="F9" s="10" t="s">
        <v>74</v>
      </c>
      <c r="G9" s="10"/>
      <c r="H9" s="10"/>
      <c r="I9" s="10"/>
      <c r="J9" s="15"/>
    </row>
    <row r="10" spans="1:10" ht="32" x14ac:dyDescent="0.35">
      <c r="A10" s="4" t="s">
        <v>83</v>
      </c>
      <c r="B10" s="10" t="s">
        <v>75</v>
      </c>
      <c r="C10" s="14" t="s">
        <v>76</v>
      </c>
      <c r="D10" s="16"/>
      <c r="E10" s="10" t="s">
        <v>77</v>
      </c>
      <c r="F10" s="9" t="s">
        <v>78</v>
      </c>
      <c r="G10" s="9"/>
      <c r="H10" s="9"/>
      <c r="I10" s="10"/>
      <c r="J10" s="15"/>
    </row>
  </sheetData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CA64-308F-4CFB-AFD9-DA7C5A2B1E8F}">
  <dimension ref="A1:M14"/>
  <sheetViews>
    <sheetView zoomScale="70" zoomScaleNormal="70" workbookViewId="0"/>
  </sheetViews>
  <sheetFormatPr defaultRowHeight="15" x14ac:dyDescent="0.35"/>
  <cols>
    <col min="1" max="1" width="8.7265625" style="1"/>
    <col min="2" max="2" width="25.6328125" style="1" bestFit="1" customWidth="1"/>
    <col min="3" max="3" width="61.7265625" style="1" customWidth="1"/>
    <col min="4" max="4" width="11.54296875" style="1" bestFit="1" customWidth="1"/>
    <col min="5" max="6" width="23.6328125" style="1" bestFit="1" customWidth="1"/>
    <col min="7" max="7" width="27.90625" style="1" bestFit="1" customWidth="1"/>
    <col min="8" max="8" width="13.26953125" style="1" bestFit="1" customWidth="1"/>
    <col min="9" max="9" width="13.453125" style="1" bestFit="1" customWidth="1"/>
    <col min="10" max="10" width="17.7265625" style="1" bestFit="1" customWidth="1"/>
    <col min="11" max="11" width="22.26953125" style="1" bestFit="1" customWidth="1"/>
    <col min="12" max="12" width="13.81640625" style="1" bestFit="1" customWidth="1"/>
    <col min="13" max="16384" width="8.7265625" style="1"/>
  </cols>
  <sheetData>
    <row r="1" spans="1:13" x14ac:dyDescent="0.35">
      <c r="A1" s="7" t="s">
        <v>39</v>
      </c>
      <c r="B1" s="7" t="s">
        <v>40</v>
      </c>
      <c r="C1" s="7" t="s">
        <v>41</v>
      </c>
      <c r="D1" s="7" t="s">
        <v>42</v>
      </c>
      <c r="E1" s="7" t="s">
        <v>68</v>
      </c>
      <c r="F1" s="7" t="s">
        <v>69</v>
      </c>
      <c r="G1" s="7" t="s">
        <v>70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16</v>
      </c>
    </row>
    <row r="2" spans="1:13" ht="120" x14ac:dyDescent="0.35">
      <c r="A2" s="3">
        <v>1</v>
      </c>
      <c r="B2" s="3" t="s">
        <v>55</v>
      </c>
      <c r="C2" s="2" t="s">
        <v>58</v>
      </c>
      <c r="D2" s="3"/>
      <c r="E2" s="3"/>
      <c r="F2" s="3"/>
      <c r="G2" s="3">
        <f>(F2-E2)*86400</f>
        <v>0</v>
      </c>
      <c r="H2" s="3"/>
      <c r="I2" s="3"/>
      <c r="J2" s="3">
        <f t="shared" ref="J2:J14" si="0">(I2-H2)*86400</f>
        <v>0</v>
      </c>
      <c r="K2" s="3">
        <f t="shared" ref="K2:K14" si="1">J2-G2</f>
        <v>0</v>
      </c>
      <c r="L2" s="3" t="str">
        <f>IF(K2&gt;0,"既存AIが速い",IF(K2&lt;0,"Botが速い","同等"))</f>
        <v>同等</v>
      </c>
      <c r="M2" s="3"/>
    </row>
    <row r="3" spans="1:13" ht="60" x14ac:dyDescent="0.35">
      <c r="A3" s="3">
        <v>2</v>
      </c>
      <c r="B3" s="3" t="s">
        <v>56</v>
      </c>
      <c r="C3" s="2" t="s">
        <v>57</v>
      </c>
      <c r="D3" s="3"/>
      <c r="E3" s="3"/>
      <c r="F3" s="3"/>
      <c r="G3" s="3">
        <f t="shared" ref="G3:G14" si="2">(F3-E3)*86400</f>
        <v>0</v>
      </c>
      <c r="H3" s="3"/>
      <c r="I3" s="3"/>
      <c r="J3" s="3">
        <f t="shared" si="0"/>
        <v>0</v>
      </c>
      <c r="K3" s="3">
        <f t="shared" si="1"/>
        <v>0</v>
      </c>
      <c r="L3" s="3" t="str">
        <f t="shared" ref="L3:L14" si="3">IF(K3&gt;0,"既存AIが速い",IF(K3&lt;0,"Botが速い","同等"))</f>
        <v>同等</v>
      </c>
      <c r="M3" s="3"/>
    </row>
    <row r="4" spans="1:13" ht="120" x14ac:dyDescent="0.35">
      <c r="A4" s="3">
        <v>3</v>
      </c>
      <c r="B4" s="3" t="s">
        <v>54</v>
      </c>
      <c r="C4" s="2" t="s">
        <v>48</v>
      </c>
      <c r="D4" s="3"/>
      <c r="E4" s="3"/>
      <c r="F4" s="3"/>
      <c r="G4" s="3">
        <f t="shared" si="2"/>
        <v>0</v>
      </c>
      <c r="H4" s="3"/>
      <c r="I4" s="3"/>
      <c r="J4" s="3">
        <f t="shared" si="0"/>
        <v>0</v>
      </c>
      <c r="K4" s="3">
        <f t="shared" si="1"/>
        <v>0</v>
      </c>
      <c r="L4" s="3" t="str">
        <f t="shared" si="3"/>
        <v>同等</v>
      </c>
      <c r="M4" s="3"/>
    </row>
    <row r="5" spans="1:13" x14ac:dyDescent="0.35">
      <c r="C5" s="8"/>
    </row>
    <row r="7" spans="1:13" ht="135" x14ac:dyDescent="0.35">
      <c r="A7" s="3">
        <v>1</v>
      </c>
      <c r="B7" s="3" t="s">
        <v>55</v>
      </c>
      <c r="C7" s="2" t="s">
        <v>59</v>
      </c>
      <c r="D7" s="3"/>
      <c r="E7" s="3"/>
      <c r="F7" s="3"/>
      <c r="G7" s="3">
        <f t="shared" si="2"/>
        <v>0</v>
      </c>
      <c r="H7" s="3"/>
      <c r="I7" s="3"/>
      <c r="J7" s="3">
        <f t="shared" si="0"/>
        <v>0</v>
      </c>
      <c r="K7" s="3">
        <f t="shared" si="1"/>
        <v>0</v>
      </c>
      <c r="L7" s="3" t="str">
        <f t="shared" si="3"/>
        <v>同等</v>
      </c>
      <c r="M7" s="3"/>
    </row>
    <row r="8" spans="1:13" ht="75" x14ac:dyDescent="0.35">
      <c r="A8" s="3">
        <v>2</v>
      </c>
      <c r="B8" s="3" t="s">
        <v>56</v>
      </c>
      <c r="C8" s="2" t="s">
        <v>60</v>
      </c>
      <c r="D8" s="3"/>
      <c r="E8" s="3"/>
      <c r="F8" s="3"/>
      <c r="G8" s="3">
        <f t="shared" si="2"/>
        <v>0</v>
      </c>
      <c r="H8" s="3"/>
      <c r="I8" s="3"/>
      <c r="J8" s="3">
        <f t="shared" si="0"/>
        <v>0</v>
      </c>
      <c r="K8" s="3">
        <f t="shared" si="1"/>
        <v>0</v>
      </c>
      <c r="L8" s="3" t="str">
        <f t="shared" si="3"/>
        <v>同等</v>
      </c>
      <c r="M8" s="3"/>
    </row>
    <row r="9" spans="1:13" ht="90" x14ac:dyDescent="0.35">
      <c r="A9" s="3">
        <v>3</v>
      </c>
      <c r="B9" s="3" t="s">
        <v>54</v>
      </c>
      <c r="C9" s="2" t="s">
        <v>61</v>
      </c>
      <c r="D9" s="3"/>
      <c r="E9" s="3"/>
      <c r="F9" s="3"/>
      <c r="G9" s="3">
        <f t="shared" si="2"/>
        <v>0</v>
      </c>
      <c r="H9" s="3"/>
      <c r="I9" s="3"/>
      <c r="J9" s="3">
        <f t="shared" si="0"/>
        <v>0</v>
      </c>
      <c r="K9" s="3">
        <f t="shared" si="1"/>
        <v>0</v>
      </c>
      <c r="L9" s="3" t="str">
        <f t="shared" si="3"/>
        <v>同等</v>
      </c>
      <c r="M9" s="3"/>
    </row>
    <row r="12" spans="1:13" ht="90" x14ac:dyDescent="0.35">
      <c r="A12" s="3">
        <v>1</v>
      </c>
      <c r="B12" s="3" t="s">
        <v>62</v>
      </c>
      <c r="C12" s="2" t="s">
        <v>65</v>
      </c>
      <c r="D12" s="3"/>
      <c r="E12" s="3"/>
      <c r="F12" s="3"/>
      <c r="G12" s="3">
        <f t="shared" si="2"/>
        <v>0</v>
      </c>
      <c r="H12" s="3"/>
      <c r="I12" s="3"/>
      <c r="J12" s="3">
        <f t="shared" si="0"/>
        <v>0</v>
      </c>
      <c r="K12" s="3">
        <f t="shared" si="1"/>
        <v>0</v>
      </c>
      <c r="L12" s="3" t="str">
        <f t="shared" si="3"/>
        <v>同等</v>
      </c>
      <c r="M12" s="3"/>
    </row>
    <row r="13" spans="1:13" x14ac:dyDescent="0.35">
      <c r="A13" s="3">
        <v>2</v>
      </c>
      <c r="B13" s="3" t="s">
        <v>63</v>
      </c>
      <c r="C13" s="3" t="s">
        <v>66</v>
      </c>
      <c r="D13" s="3"/>
      <c r="E13" s="3"/>
      <c r="F13" s="3"/>
      <c r="G13" s="3">
        <f t="shared" si="2"/>
        <v>0</v>
      </c>
      <c r="H13" s="3"/>
      <c r="I13" s="3"/>
      <c r="J13" s="3">
        <f t="shared" si="0"/>
        <v>0</v>
      </c>
      <c r="K13" s="3">
        <f t="shared" si="1"/>
        <v>0</v>
      </c>
      <c r="L13" s="3" t="str">
        <f t="shared" si="3"/>
        <v>同等</v>
      </c>
      <c r="M13" s="3"/>
    </row>
    <row r="14" spans="1:13" x14ac:dyDescent="0.35">
      <c r="A14" s="3">
        <v>3</v>
      </c>
      <c r="B14" s="3" t="s">
        <v>64</v>
      </c>
      <c r="C14" s="3" t="s">
        <v>67</v>
      </c>
      <c r="D14" s="3"/>
      <c r="E14" s="3"/>
      <c r="F14" s="3"/>
      <c r="G14" s="3">
        <f t="shared" si="2"/>
        <v>0</v>
      </c>
      <c r="H14" s="3"/>
      <c r="I14" s="3"/>
      <c r="J14" s="3">
        <f t="shared" si="0"/>
        <v>0</v>
      </c>
      <c r="K14" s="3">
        <f t="shared" si="1"/>
        <v>0</v>
      </c>
      <c r="L14" s="3" t="str">
        <f t="shared" si="3"/>
        <v>同等</v>
      </c>
      <c r="M14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テストケース</vt:lpstr>
      <vt:lpstr>性能テストケース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贵诚 赵</cp:lastModifiedBy>
  <dcterms:modified xsi:type="dcterms:W3CDTF">2026-03-02T05:26:38Z</dcterms:modified>
</cp:coreProperties>
</file>